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Final\"/>
    </mc:Choice>
  </mc:AlternateContent>
  <xr:revisionPtr revIDLastSave="0" documentId="13_ncr:1_{06B601AD-D0C9-4F68-81A9-46A90143ACF7}" xr6:coauthVersionLast="47" xr6:coauthVersionMax="47" xr10:uidLastSave="{00000000-0000-0000-0000-000000000000}"/>
  <bookViews>
    <workbookView xWindow="-110" yWindow="-110" windowWidth="24220" windowHeight="15500" xr2:uid="{D46A994D-C3B8-46E2-B04C-45576FDF7B22}"/>
  </bookViews>
  <sheets>
    <sheet name="Pric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11" i="1"/>
</calcChain>
</file>

<file path=xl/sharedStrings.xml><?xml version="1.0" encoding="utf-8"?>
<sst xmlns="http://schemas.openxmlformats.org/spreadsheetml/2006/main" count="27" uniqueCount="24">
  <si>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</si>
  <si>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</si>
  <si>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</si>
  <si>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</si>
  <si>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</si>
  <si>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</si>
  <si>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</si>
  <si>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</si>
  <si>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</si>
  <si>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</si>
  <si>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</si>
  <si>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</si>
  <si>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</si>
  <si>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</si>
  <si>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</si>
  <si>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</si>
  <si>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</si>
  <si>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</si>
  <si>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</si>
  <si>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</si>
  <si>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Smin</t>
  </si>
  <si>
    <t>Smax</t>
  </si>
  <si>
    <t>Range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</si>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</sst>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dd/mm/yyyy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0" fontId="0" fillId="0" borderId="0" xfId="0" applyBorder="1" applyProtection="1"/>
    <xf numFmtId="0" fontId="0" fillId="0" borderId="2" xfId="0" applyFill="1" applyBorder="1" applyProtection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1" xfId="0" applyFill="1" applyBorder="1" applyAlignment="1" applyProtection="1">
      <alignment horizontal="right"/>
      <protection locked="0"/>
    </xf>
    <xf numFmtId="165" fontId="0" fillId="0" borderId="1" xfId="0" applyNumberFormat="1" applyFill="1" applyBorder="1" applyProtection="1"/>
    <xf numFmtId="165" fontId="0" fillId="0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12.130791</c:v>
                </c:pt>
                <c:pt idx="1">
                  <c:v>12.198185</c:v>
                </c:pt>
                <c:pt idx="2">
                  <c:v>12.265578</c:v>
                </c:pt>
                <c:pt idx="3">
                  <c:v>12.332971000000001</c:v>
                </c:pt>
                <c:pt idx="4">
                  <c:v>12.400365000000001</c:v>
                </c:pt>
                <c:pt idx="5">
                  <c:v>12.467758</c:v>
                </c:pt>
                <c:pt idx="6">
                  <c:v>12.535151000000001</c:v>
                </c:pt>
                <c:pt idx="7">
                  <c:v>12.602544</c:v>
                </c:pt>
                <c:pt idx="8">
                  <c:v>12.669938</c:v>
                </c:pt>
                <c:pt idx="9">
                  <c:v>12.737330999999999</c:v>
                </c:pt>
                <c:pt idx="10">
                  <c:v>12.804724</c:v>
                </c:pt>
                <c:pt idx="11">
                  <c:v>12.872118</c:v>
                </c:pt>
                <c:pt idx="12">
                  <c:v>12.939511</c:v>
                </c:pt>
                <c:pt idx="13">
                  <c:v>13.006904</c:v>
                </c:pt>
                <c:pt idx="14">
                  <c:v>13.074297</c:v>
                </c:pt>
                <c:pt idx="15">
                  <c:v>13.141691</c:v>
                </c:pt>
                <c:pt idx="16">
                  <c:v>13.209084000000001</c:v>
                </c:pt>
                <c:pt idx="17">
                  <c:v>13.276477</c:v>
                </c:pt>
                <c:pt idx="18">
                  <c:v>13.343871</c:v>
                </c:pt>
                <c:pt idx="19">
                  <c:v>13.411263999999999</c:v>
                </c:pt>
                <c:pt idx="20">
                  <c:v>13.478657</c:v>
                </c:pt>
                <c:pt idx="21">
                  <c:v>13.546049999999999</c:v>
                </c:pt>
                <c:pt idx="22">
                  <c:v>13.613443999999999</c:v>
                </c:pt>
                <c:pt idx="23">
                  <c:v>13.680837</c:v>
                </c:pt>
                <c:pt idx="24">
                  <c:v>13.74823</c:v>
                </c:pt>
                <c:pt idx="25">
                  <c:v>13.815623</c:v>
                </c:pt>
                <c:pt idx="26">
                  <c:v>13.883017000000001</c:v>
                </c:pt>
                <c:pt idx="27">
                  <c:v>13.95041</c:v>
                </c:pt>
                <c:pt idx="28">
                  <c:v>14.017803000000001</c:v>
                </c:pt>
                <c:pt idx="29">
                  <c:v>14.085197000000001</c:v>
                </c:pt>
                <c:pt idx="30">
                  <c:v>14.15259</c:v>
                </c:pt>
                <c:pt idx="31">
                  <c:v>14.219982999999999</c:v>
                </c:pt>
                <c:pt idx="32">
                  <c:v>14.287376</c:v>
                </c:pt>
                <c:pt idx="33">
                  <c:v>14.35477</c:v>
                </c:pt>
                <c:pt idx="34">
                  <c:v>14.422162999999999</c:v>
                </c:pt>
                <c:pt idx="35">
                  <c:v>14.489556</c:v>
                </c:pt>
                <c:pt idx="36">
                  <c:v>14.556950000000001</c:v>
                </c:pt>
                <c:pt idx="37">
                  <c:v>14.624343</c:v>
                </c:pt>
                <c:pt idx="38">
                  <c:v>14.691736000000001</c:v>
                </c:pt>
                <c:pt idx="39">
                  <c:v>14.759129</c:v>
                </c:pt>
                <c:pt idx="40">
                  <c:v>14.826523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9A-40FC-9540-3AC53FEC3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336304"/>
        <c:axId val="1009336784"/>
      </c:scatterChart>
      <c:valAx>
        <c:axId val="1009336304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9336784"/>
        <c:crosses val="autoZero"/>
        <c:crossBetween val="midCat"/>
      </c:valAx>
      <c:valAx>
        <c:axId val="1009336784"/>
        <c:scaling>
          <c:orientation val="minMax"/>
          <c:max val="14.9613096"/>
          <c:min val="11.996004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9336304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0.13478699999999999</c:v>
                </c:pt>
                <c:pt idx="1">
                  <c:v>0.13478699999999999</c:v>
                </c:pt>
                <c:pt idx="2">
                  <c:v>0.13478699999999999</c:v>
                </c:pt>
                <c:pt idx="3">
                  <c:v>0.13478699999999999</c:v>
                </c:pt>
                <c:pt idx="4">
                  <c:v>0.13478699999999999</c:v>
                </c:pt>
                <c:pt idx="5">
                  <c:v>0.13478699999999999</c:v>
                </c:pt>
                <c:pt idx="6">
                  <c:v>0.13478699999999999</c:v>
                </c:pt>
                <c:pt idx="7">
                  <c:v>0.13478699999999999</c:v>
                </c:pt>
                <c:pt idx="8">
                  <c:v>0.13478699999999999</c:v>
                </c:pt>
                <c:pt idx="9">
                  <c:v>0.13478699999999999</c:v>
                </c:pt>
                <c:pt idx="10">
                  <c:v>0.13478699999999999</c:v>
                </c:pt>
                <c:pt idx="11">
                  <c:v>0.13478699999999999</c:v>
                </c:pt>
                <c:pt idx="12">
                  <c:v>0.13478699999999999</c:v>
                </c:pt>
                <c:pt idx="13">
                  <c:v>0.13478699999999999</c:v>
                </c:pt>
                <c:pt idx="14">
                  <c:v>0.13478699999999999</c:v>
                </c:pt>
                <c:pt idx="15">
                  <c:v>0.13478699999999999</c:v>
                </c:pt>
                <c:pt idx="16">
                  <c:v>0.13478699999999999</c:v>
                </c:pt>
                <c:pt idx="17">
                  <c:v>0.13478699999999999</c:v>
                </c:pt>
                <c:pt idx="18">
                  <c:v>0.13478699999999999</c:v>
                </c:pt>
                <c:pt idx="19">
                  <c:v>0.13478699999999999</c:v>
                </c:pt>
                <c:pt idx="20">
                  <c:v>0.13478699999999999</c:v>
                </c:pt>
                <c:pt idx="21">
                  <c:v>0.13478699999999999</c:v>
                </c:pt>
                <c:pt idx="22">
                  <c:v>0.13478699999999999</c:v>
                </c:pt>
                <c:pt idx="23">
                  <c:v>0.13478699999999999</c:v>
                </c:pt>
                <c:pt idx="24">
                  <c:v>0.13478699999999999</c:v>
                </c:pt>
                <c:pt idx="25">
                  <c:v>0.13478699999999999</c:v>
                </c:pt>
                <c:pt idx="26">
                  <c:v>0.13478699999999999</c:v>
                </c:pt>
                <c:pt idx="27">
                  <c:v>0.13478699999999999</c:v>
                </c:pt>
                <c:pt idx="28">
                  <c:v>0.13478699999999999</c:v>
                </c:pt>
                <c:pt idx="29">
                  <c:v>0.13478699999999999</c:v>
                </c:pt>
                <c:pt idx="30">
                  <c:v>0.13478699999999999</c:v>
                </c:pt>
                <c:pt idx="31">
                  <c:v>0.13478699999999999</c:v>
                </c:pt>
                <c:pt idx="32">
                  <c:v>0.13478699999999999</c:v>
                </c:pt>
                <c:pt idx="33">
                  <c:v>0.13478699999999999</c:v>
                </c:pt>
                <c:pt idx="34">
                  <c:v>0.13478699999999999</c:v>
                </c:pt>
                <c:pt idx="35">
                  <c:v>0.13478699999999999</c:v>
                </c:pt>
                <c:pt idx="36">
                  <c:v>0.13478699999999999</c:v>
                </c:pt>
                <c:pt idx="37">
                  <c:v>0.13478699999999999</c:v>
                </c:pt>
                <c:pt idx="38">
                  <c:v>0.13478699999999999</c:v>
                </c:pt>
                <c:pt idx="39">
                  <c:v>0.13478699999999999</c:v>
                </c:pt>
                <c:pt idx="40">
                  <c:v>0.13478699999999999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27-4542-966E-69D251478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334864"/>
        <c:axId val="1009335344"/>
      </c:scatterChart>
      <c:valAx>
        <c:axId val="1009334864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9335344"/>
        <c:crosses val="autoZero"/>
        <c:crossBetween val="midCat"/>
      </c:valAx>
      <c:valAx>
        <c:axId val="1009335344"/>
        <c:scaling>
          <c:orientation val="minMax"/>
          <c:max val="0.144787"/>
          <c:min val="0.12478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9334864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177800</xdr:rowOff>
        </xdr:from>
        <xdr:to>
          <xdr:col>6</xdr:col>
          <xdr:colOff>0</xdr:colOff>
          <xdr:row>14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127000</xdr:rowOff>
    </xdr:from>
    <xdr:to>
      <xdr:col>7</xdr:col>
      <xdr:colOff>273050</xdr:colOff>
      <xdr:row>32</xdr:row>
      <xdr:rowOff>171450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A49BC41F-0C29-4BA7-E87B-045197C59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114300</xdr:rowOff>
    </xdr:from>
    <xdr:to>
      <xdr:col>7</xdr:col>
      <xdr:colOff>273050</xdr:colOff>
      <xdr:row>50</xdr:row>
      <xdr:rowOff>158750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4D3CB892-BCC1-5668-905D-F73366B37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11" sqref="B11"/>
    </sheetView>
  </sheetViews>
  <sheetFormatPr defaultColWidth="8.90625" defaultRowHeight="14.5" x14ac:dyDescent="0.35"/>
  <cols>
    <col min="1" max="1" width="8.90625" style="2"/>
    <col min="2" max="2" width="10.453125" style="2" bestFit="1" customWidth="1"/>
    <col min="3" max="5" width="8.90625" style="2"/>
    <col min="6" max="6" width="13.81640625" style="2" customWidth="1"/>
    <col min="7" max="7" width="8.90625" style="2"/>
    <col min="8" max="8" width="8.90625" style="2" customWidth="1"/>
    <col min="9" max="9" width="11.08984375" style="7" customWidth="1"/>
    <col min="10" max="10" width="12.54296875" style="7" customWidth="1"/>
    <col min="11" max="11" width="12.6328125" style="7" customWidth="1"/>
    <col min="12" max="16384" width="8.90625" style="2"/>
  </cols>
  <sheetData>
    <row r="1" spans="1:11" x14ac:dyDescent="0.35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5">
      <c r="A2" s="1" t="s">
        <v>1</v>
      </c>
      <c r="B2" s="11" t="s">
        <v>23</v>
      </c>
      <c r="E2" s="3" t="s">
        <v>13</v>
      </c>
      <c r="F2" s="4">
        <v>13.478657</v>
      </c>
      <c r="I2" s="8">
        <v>90</v>
      </c>
      <c r="J2" s="8">
        <v>12.130791</v>
      </c>
      <c r="K2" s="8">
        <v>0.13478699999999999</v>
      </c>
    </row>
    <row r="3" spans="1:11" x14ac:dyDescent="0.35">
      <c r="A3" s="1" t="s">
        <v>2</v>
      </c>
      <c r="B3" s="12">
        <v>46066</v>
      </c>
      <c r="E3" s="3" t="s">
        <v>14</v>
      </c>
      <c r="F3" s="4">
        <v>0.13478699999999999</v>
      </c>
      <c r="I3" s="9">
        <v>90.5</v>
      </c>
      <c r="J3" s="9">
        <v>12.198185</v>
      </c>
      <c r="K3" s="9">
        <v>0.13478699999999999</v>
      </c>
    </row>
    <row r="4" spans="1:11" x14ac:dyDescent="0.35">
      <c r="A4" s="1" t="s">
        <v>3</v>
      </c>
      <c r="B4" s="13">
        <v>46431</v>
      </c>
      <c r="E4" s="3" t="s">
        <v>15</v>
      </c>
      <c r="F4" s="5">
        <v>0</v>
      </c>
      <c r="I4" s="9">
        <v>91</v>
      </c>
      <c r="J4" s="9">
        <v>12.265578</v>
      </c>
      <c r="K4" s="9">
        <v>0.13478699999999999</v>
      </c>
    </row>
    <row r="5" spans="1:11" x14ac:dyDescent="0.35">
      <c r="A5" s="1" t="s">
        <v>4</v>
      </c>
      <c r="B5" s="14">
        <v>100</v>
      </c>
      <c r="E5" s="3" t="s">
        <v>16</v>
      </c>
      <c r="F5" s="4">
        <v>-7.252974</v>
      </c>
      <c r="I5" s="9">
        <v>91.5</v>
      </c>
      <c r="J5" s="9">
        <v>12.332971000000001</v>
      </c>
      <c r="K5" s="9">
        <v>0.13478699999999999</v>
      </c>
    </row>
    <row r="6" spans="1:11" x14ac:dyDescent="0.35">
      <c r="A6" s="1" t="s">
        <v>5</v>
      </c>
      <c r="B6" s="15">
        <v>0.05</v>
      </c>
      <c r="E6" s="3" t="s">
        <v>17</v>
      </c>
      <c r="F6" s="4">
        <v>-48.971676000000002</v>
      </c>
      <c r="I6" s="9">
        <v>92</v>
      </c>
      <c r="J6" s="9">
        <v>12.400365000000001</v>
      </c>
      <c r="K6" s="9">
        <v>0.13478699999999999</v>
      </c>
    </row>
    <row r="7" spans="1:11" x14ac:dyDescent="0.35">
      <c r="A7" s="1" t="s">
        <v>6</v>
      </c>
      <c r="B7" s="15">
        <v>0.2</v>
      </c>
      <c r="E7" s="3" t="s">
        <v>18</v>
      </c>
      <c r="F7" s="4">
        <v>82.509575999999996</v>
      </c>
      <c r="I7" s="9">
        <v>92.5</v>
      </c>
      <c r="J7" s="9">
        <v>12.467758</v>
      </c>
      <c r="K7" s="9">
        <v>0.13478699999999999</v>
      </c>
    </row>
    <row r="8" spans="1:11" x14ac:dyDescent="0.35">
      <c r="A8" s="1" t="s">
        <v>7</v>
      </c>
      <c r="B8" s="16">
        <v>100000</v>
      </c>
      <c r="I8" s="9">
        <v>93</v>
      </c>
      <c r="J8" s="9">
        <v>12.535151000000001</v>
      </c>
      <c r="K8" s="9">
        <v>0.13478699999999999</v>
      </c>
    </row>
    <row r="9" spans="1:11" x14ac:dyDescent="0.35">
      <c r="A9" s="1" t="s">
        <v>8</v>
      </c>
      <c r="B9" s="14">
        <v>0.5</v>
      </c>
      <c r="E9" s="3" t="s">
        <v>20</v>
      </c>
      <c r="F9" s="4">
        <f>IF(B5-(B10*B9*0.5)&gt;0,B5-(B10*0.5*B9),0)</f>
        <v>90</v>
      </c>
      <c r="I9" s="9">
        <v>93.5</v>
      </c>
      <c r="J9" s="9">
        <v>12.602544</v>
      </c>
      <c r="K9" s="9">
        <v>0.13478699999999999</v>
      </c>
    </row>
    <row r="10" spans="1:11" x14ac:dyDescent="0.35">
      <c r="A10" s="1" t="s">
        <v>9</v>
      </c>
      <c r="B10" s="14">
        <v>40</v>
      </c>
      <c r="E10" s="3" t="s">
        <v>21</v>
      </c>
      <c r="F10" s="4">
        <f>IF(B5-(B10*0.5*B9)&gt;0,B5+(B10*0.5*B9),B5+(B10+(B10-(2*B5/B9)))*0.5*B9)</f>
        <v>110</v>
      </c>
      <c r="I10" s="9">
        <v>94</v>
      </c>
      <c r="J10" s="9">
        <v>12.669938</v>
      </c>
      <c r="K10" s="9">
        <v>0.13478699999999999</v>
      </c>
    </row>
    <row r="11" spans="1:11" x14ac:dyDescent="0.35">
      <c r="A11" s="1" t="s">
        <v>10</v>
      </c>
      <c r="B11" s="14">
        <v>20</v>
      </c>
      <c r="E11" s="3" t="s">
        <v>22</v>
      </c>
      <c r="F11" s="6">
        <f>B10*B9</f>
        <v>20</v>
      </c>
      <c r="I11" s="9">
        <v>94.5</v>
      </c>
      <c r="J11" s="9">
        <v>12.737330999999999</v>
      </c>
      <c r="K11" s="9">
        <v>0.13478699999999999</v>
      </c>
    </row>
    <row r="12" spans="1:11" x14ac:dyDescent="0.35">
      <c r="I12" s="9">
        <v>95</v>
      </c>
      <c r="J12" s="9">
        <v>12.804724</v>
      </c>
      <c r="K12" s="9">
        <v>0.13478699999999999</v>
      </c>
    </row>
    <row r="13" spans="1:11" x14ac:dyDescent="0.35">
      <c r="I13" s="9">
        <v>95.5</v>
      </c>
      <c r="J13" s="9">
        <v>12.872118</v>
      </c>
      <c r="K13" s="9">
        <v>0.13478699999999999</v>
      </c>
    </row>
    <row r="14" spans="1:11" x14ac:dyDescent="0.35">
      <c r="I14" s="9">
        <v>96</v>
      </c>
      <c r="J14" s="9">
        <v>12.939511</v>
      </c>
      <c r="K14" s="9">
        <v>0.13478699999999999</v>
      </c>
    </row>
    <row r="15" spans="1:11" x14ac:dyDescent="0.35">
      <c r="I15" s="9">
        <v>96.5</v>
      </c>
      <c r="J15" s="9">
        <v>13.006904</v>
      </c>
      <c r="K15" s="9">
        <v>0.13478699999999999</v>
      </c>
    </row>
    <row r="16" spans="1:11" x14ac:dyDescent="0.35">
      <c r="I16" s="9">
        <v>97</v>
      </c>
      <c r="J16" s="9">
        <v>13.074297</v>
      </c>
      <c r="K16" s="9">
        <v>0.13478699999999999</v>
      </c>
    </row>
    <row r="17" spans="9:11" x14ac:dyDescent="0.35">
      <c r="I17" s="9">
        <v>97.5</v>
      </c>
      <c r="J17" s="9">
        <v>13.141691</v>
      </c>
      <c r="K17" s="9">
        <v>0.13478699999999999</v>
      </c>
    </row>
    <row r="18" spans="9:11" x14ac:dyDescent="0.35">
      <c r="I18" s="9">
        <v>98</v>
      </c>
      <c r="J18" s="9">
        <v>13.209084000000001</v>
      </c>
      <c r="K18" s="9">
        <v>0.13478699999999999</v>
      </c>
    </row>
    <row r="19" spans="9:11" x14ac:dyDescent="0.35">
      <c r="I19" s="9">
        <v>98.5</v>
      </c>
      <c r="J19" s="9">
        <v>13.276477</v>
      </c>
      <c r="K19" s="9">
        <v>0.13478699999999999</v>
      </c>
    </row>
    <row r="20" spans="9:11" x14ac:dyDescent="0.35">
      <c r="I20" s="9">
        <v>99</v>
      </c>
      <c r="J20" s="9">
        <v>13.343871</v>
      </c>
      <c r="K20" s="9">
        <v>0.13478699999999999</v>
      </c>
    </row>
    <row r="21" spans="9:11" x14ac:dyDescent="0.35">
      <c r="I21" s="9">
        <v>99.5</v>
      </c>
      <c r="J21" s="9">
        <v>13.411263999999999</v>
      </c>
      <c r="K21" s="9">
        <v>0.13478699999999999</v>
      </c>
    </row>
    <row r="22" spans="9:11" x14ac:dyDescent="0.35">
      <c r="I22" s="9">
        <v>100</v>
      </c>
      <c r="J22" s="9">
        <v>13.478657</v>
      </c>
      <c r="K22" s="9">
        <v>0.13478699999999999</v>
      </c>
    </row>
    <row r="23" spans="9:11" x14ac:dyDescent="0.35">
      <c r="I23" s="9">
        <v>100.5</v>
      </c>
      <c r="J23" s="9">
        <v>13.546049999999999</v>
      </c>
      <c r="K23" s="9">
        <v>0.13478699999999999</v>
      </c>
    </row>
    <row r="24" spans="9:11" x14ac:dyDescent="0.35">
      <c r="I24" s="9">
        <v>101</v>
      </c>
      <c r="J24" s="9">
        <v>13.613443999999999</v>
      </c>
      <c r="K24" s="9">
        <v>0.13478699999999999</v>
      </c>
    </row>
    <row r="25" spans="9:11" x14ac:dyDescent="0.35">
      <c r="I25" s="9">
        <v>101.5</v>
      </c>
      <c r="J25" s="9">
        <v>13.680837</v>
      </c>
      <c r="K25" s="9">
        <v>0.13478699999999999</v>
      </c>
    </row>
    <row r="26" spans="9:11" x14ac:dyDescent="0.35">
      <c r="I26" s="9">
        <v>102</v>
      </c>
      <c r="J26" s="9">
        <v>13.74823</v>
      </c>
      <c r="K26" s="9">
        <v>0.13478699999999999</v>
      </c>
    </row>
    <row r="27" spans="9:11" x14ac:dyDescent="0.35">
      <c r="I27" s="9">
        <v>102.5</v>
      </c>
      <c r="J27" s="9">
        <v>13.815623</v>
      </c>
      <c r="K27" s="9">
        <v>0.13478699999999999</v>
      </c>
    </row>
    <row r="28" spans="9:11" x14ac:dyDescent="0.35">
      <c r="I28" s="9">
        <v>103</v>
      </c>
      <c r="J28" s="9">
        <v>13.883017000000001</v>
      </c>
      <c r="K28" s="9">
        <v>0.13478699999999999</v>
      </c>
    </row>
    <row r="29" spans="9:11" x14ac:dyDescent="0.35">
      <c r="I29" s="9">
        <v>103.5</v>
      </c>
      <c r="J29" s="9">
        <v>13.95041</v>
      </c>
      <c r="K29" s="9">
        <v>0.13478699999999999</v>
      </c>
    </row>
    <row r="30" spans="9:11" x14ac:dyDescent="0.35">
      <c r="I30" s="9">
        <v>104</v>
      </c>
      <c r="J30" s="9">
        <v>14.017803000000001</v>
      </c>
      <c r="K30" s="9">
        <v>0.13478699999999999</v>
      </c>
    </row>
    <row r="31" spans="9:11" x14ac:dyDescent="0.35">
      <c r="I31" s="9">
        <v>104.5</v>
      </c>
      <c r="J31" s="9">
        <v>14.085197000000001</v>
      </c>
      <c r="K31" s="9">
        <v>0.13478699999999999</v>
      </c>
    </row>
    <row r="32" spans="9:11" x14ac:dyDescent="0.35">
      <c r="I32" s="9">
        <v>105</v>
      </c>
      <c r="J32" s="9">
        <v>14.15259</v>
      </c>
      <c r="K32" s="9">
        <v>0.13478699999999999</v>
      </c>
    </row>
    <row r="33" spans="9:11" x14ac:dyDescent="0.35">
      <c r="I33" s="9">
        <v>105.5</v>
      </c>
      <c r="J33" s="9">
        <v>14.219982999999999</v>
      </c>
      <c r="K33" s="9">
        <v>0.13478699999999999</v>
      </c>
    </row>
    <row r="34" spans="9:11" x14ac:dyDescent="0.35">
      <c r="I34" s="9">
        <v>106</v>
      </c>
      <c r="J34" s="9">
        <v>14.287376</v>
      </c>
      <c r="K34" s="9">
        <v>0.13478699999999999</v>
      </c>
    </row>
    <row r="35" spans="9:11" x14ac:dyDescent="0.35">
      <c r="I35" s="9">
        <v>106.5</v>
      </c>
      <c r="J35" s="9">
        <v>14.35477</v>
      </c>
      <c r="K35" s="9">
        <v>0.13478699999999999</v>
      </c>
    </row>
    <row r="36" spans="9:11" x14ac:dyDescent="0.35">
      <c r="I36" s="9">
        <v>107</v>
      </c>
      <c r="J36" s="9">
        <v>14.422162999999999</v>
      </c>
      <c r="K36" s="9">
        <v>0.13478699999999999</v>
      </c>
    </row>
    <row r="37" spans="9:11" x14ac:dyDescent="0.35">
      <c r="I37" s="9">
        <v>107.5</v>
      </c>
      <c r="J37" s="9">
        <v>14.489556</v>
      </c>
      <c r="K37" s="9">
        <v>0.13478699999999999</v>
      </c>
    </row>
    <row r="38" spans="9:11" x14ac:dyDescent="0.35">
      <c r="I38" s="9">
        <v>108</v>
      </c>
      <c r="J38" s="9">
        <v>14.556950000000001</v>
      </c>
      <c r="K38" s="9">
        <v>0.13478699999999999</v>
      </c>
    </row>
    <row r="39" spans="9:11" x14ac:dyDescent="0.35">
      <c r="I39" s="9">
        <v>108.5</v>
      </c>
      <c r="J39" s="9">
        <v>14.624343</v>
      </c>
      <c r="K39" s="9">
        <v>0.13478699999999999</v>
      </c>
    </row>
    <row r="40" spans="9:11" x14ac:dyDescent="0.35">
      <c r="I40" s="9">
        <v>109</v>
      </c>
      <c r="J40" s="9">
        <v>14.691736000000001</v>
      </c>
      <c r="K40" s="9">
        <v>0.13478699999999999</v>
      </c>
    </row>
    <row r="41" spans="9:11" x14ac:dyDescent="0.35">
      <c r="I41" s="9">
        <v>109.5</v>
      </c>
      <c r="J41" s="9">
        <v>14.759129</v>
      </c>
      <c r="K41" s="9">
        <v>0.13478699999999999</v>
      </c>
    </row>
    <row r="42" spans="9:11" x14ac:dyDescent="0.35">
      <c r="I42" s="10">
        <v>110</v>
      </c>
      <c r="J42" s="10">
        <v>14.826523</v>
      </c>
      <c r="K42" s="10">
        <v>0.13478699999999999</v>
      </c>
    </row>
  </sheetData>
  <sheetProtection sheet="1" objects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Foglio1.CalculateOptionPrice">
                <anchor moveWithCells="1" sizeWithCells="1">
                  <from>
                    <xdr:col>0</xdr:col>
                    <xdr:colOff>0</xdr:colOff>
                    <xdr:row>11</xdr:row>
                    <xdr:rowOff>177800</xdr:rowOff>
                  </from>
                  <to>
                    <xdr:col>6</xdr:col>
                    <xdr:colOff>0</xdr:colOff>
                    <xdr:row>14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Alessio Baldini</cp:lastModifiedBy>
  <dcterms:created xsi:type="dcterms:W3CDTF">2026-01-12T23:30:11Z</dcterms:created>
  <dcterms:modified xsi:type="dcterms:W3CDTF">2026-02-13T07:49:59Z</dcterms:modified>
</cp:coreProperties>
</file>