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Users\aless\Desktop\Lookback\"/>
    </mc:Choice>
  </mc:AlternateContent>
  <xr:revisionPtr revIDLastSave="0" documentId="13_ncr:1_{124B384E-6394-44C7-956A-795DDEE1AC9E}" xr6:coauthVersionLast="47" xr6:coauthVersionMax="47" xr10:uidLastSave="{00000000-0000-0000-0000-000000000000}"/>
  <bookViews>
    <workbookView xWindow="-110" yWindow="-110" windowWidth="24220" windowHeight="15500" xr2:uid="{D46A994D-C3B8-46E2-B04C-45576FDF7B22}"/>
  </bookViews>
  <sheets>
    <sheet name="Pricing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F9" i="1"/>
  <c r="F11" i="1"/>
</calcChain>
</file>

<file path=xl/sharedStrings.xml><?xml version="1.0" encoding="utf-8"?>
<sst xmlns="http://schemas.openxmlformats.org/spreadsheetml/2006/main" count="27" uniqueCount="24">
  <si>
    <t>Input</t>
  </si>
  <si>
    <t>Option</t>
  </si>
  <si>
    <t>t</t>
  </si>
  <si>
    <t>T</t>
  </si>
  <si>
    <t>S0</t>
  </si>
  <si>
    <t>r</t>
  </si>
  <si>
    <t>sigma</t>
  </si>
  <si>
    <t>N</t>
  </si>
  <si>
    <t>dS</t>
  </si>
  <si>
    <t>M</t>
  </si>
  <si>
    <t>seed</t>
  </si>
  <si>
    <t>Value</t>
  </si>
  <si>
    <t>Output</t>
  </si>
  <si>
    <t>Price</t>
  </si>
  <si>
    <t>Delta</t>
  </si>
  <si>
    <t>Gamma</t>
  </si>
  <si>
    <t>Theta</t>
  </si>
  <si>
    <t>Rho</t>
  </si>
  <si>
    <t>Vega</t>
  </si>
  <si>
    <t>Spot</t>
  </si>
  <si>
    <t>Smin</t>
  </si>
  <si>
    <t>Smax</t>
  </si>
  <si>
    <t>Range</t>
  </si>
  <si>
    <t>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</si>
</sst>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dd/mm/yyyy"/>
  </numFmts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1" xfId="0" applyFill="1" applyBorder="1" applyProtection="1"/>
    <xf numFmtId="0" fontId="0" fillId="0" borderId="0" xfId="0" applyProtection="1"/>
    <xf numFmtId="164" fontId="0" fillId="2" borderId="1" xfId="0" applyNumberFormat="1" applyFill="1" applyBorder="1" applyProtection="1"/>
    <xf numFmtId="0" fontId="0" fillId="0" borderId="1" xfId="0" applyBorder="1" applyProtection="1"/>
    <xf numFmtId="164" fontId="0" fillId="0" borderId="1" xfId="0" applyNumberFormat="1" applyBorder="1" applyProtection="1"/>
    <xf numFmtId="1" fontId="0" fillId="0" borderId="1" xfId="0" applyNumberFormat="1" applyBorder="1" applyProtection="1"/>
    <xf numFmtId="0" fontId="0" fillId="0" borderId="0" xfId="0" applyBorder="1" applyProtection="1"/>
    <xf numFmtId="0" fontId="0" fillId="0" borderId="2" xfId="0" applyFill="1" applyBorder="1" applyProtection="1"/>
    <xf numFmtId="0" fontId="0" fillId="0" borderId="3" xfId="0" applyFill="1" applyBorder="1" applyProtection="1"/>
    <xf numFmtId="0" fontId="0" fillId="0" borderId="4" xfId="0" applyFill="1" applyBorder="1" applyProtection="1"/>
    <xf numFmtId="0" fontId="0" fillId="0" borderId="1" xfId="0" applyFill="1" applyBorder="1" applyAlignment="1" applyProtection="1">
      <alignment horizontal="right"/>
      <protection locked="0"/>
    </xf>
    <xf numFmtId="165" fontId="0" fillId="0" borderId="1" xfId="0" applyNumberFormat="1" applyFill="1" applyBorder="1" applyProtection="1"/>
    <xf numFmtId="165" fontId="0" fillId="0" borderId="1" xfId="0" applyNumberFormat="1" applyFill="1" applyBorder="1" applyProtection="1">
      <protection locked="0"/>
    </xf>
    <xf numFmtId="0" fontId="0" fillId="0" borderId="1" xfId="0" applyFill="1" applyBorder="1" applyProtection="1">
      <protection locked="0"/>
    </xf>
    <xf numFmtId="10" fontId="0" fillId="0" borderId="1" xfId="0" applyNumberFormat="1" applyFill="1" applyBorder="1" applyProtection="1">
      <protection locked="0"/>
    </xf>
    <xf numFmtId="1" fontId="0" fillId="0" borderId="1" xfId="0" applyNumberFormat="1" applyFill="1" applyBorder="1" applyProtection="1">
      <protection locked="0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it-IT"/>
              <a:t>Price vs Spot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Pricing!$I$2:$I$42</c:f>
              <c:numCache>
                <c:formatCode>General</c:formatCode>
                <c:ptCount val="41"/>
                <c:pt idx="0">
                  <c:v>90</c:v>
                </c:pt>
                <c:pt idx="1">
                  <c:v>90.5</c:v>
                </c:pt>
                <c:pt idx="2">
                  <c:v>91</c:v>
                </c:pt>
                <c:pt idx="3">
                  <c:v>91.5</c:v>
                </c:pt>
                <c:pt idx="4">
                  <c:v>92</c:v>
                </c:pt>
                <c:pt idx="5">
                  <c:v>92.5</c:v>
                </c:pt>
                <c:pt idx="6">
                  <c:v>93</c:v>
                </c:pt>
                <c:pt idx="7">
                  <c:v>93.5</c:v>
                </c:pt>
                <c:pt idx="8">
                  <c:v>94</c:v>
                </c:pt>
                <c:pt idx="9">
                  <c:v>94.5</c:v>
                </c:pt>
                <c:pt idx="10">
                  <c:v>95</c:v>
                </c:pt>
                <c:pt idx="11">
                  <c:v>95.5</c:v>
                </c:pt>
                <c:pt idx="12">
                  <c:v>96</c:v>
                </c:pt>
                <c:pt idx="13">
                  <c:v>96.5</c:v>
                </c:pt>
                <c:pt idx="14">
                  <c:v>97</c:v>
                </c:pt>
                <c:pt idx="15">
                  <c:v>97.5</c:v>
                </c:pt>
                <c:pt idx="16">
                  <c:v>98</c:v>
                </c:pt>
                <c:pt idx="17">
                  <c:v>98.5</c:v>
                </c:pt>
                <c:pt idx="18">
                  <c:v>99</c:v>
                </c:pt>
                <c:pt idx="19">
                  <c:v>99.5</c:v>
                </c:pt>
                <c:pt idx="20">
                  <c:v>100</c:v>
                </c:pt>
                <c:pt idx="21">
                  <c:v>100.5</c:v>
                </c:pt>
                <c:pt idx="22">
                  <c:v>101</c:v>
                </c:pt>
                <c:pt idx="23">
                  <c:v>101.5</c:v>
                </c:pt>
                <c:pt idx="24">
                  <c:v>102</c:v>
                </c:pt>
                <c:pt idx="25">
                  <c:v>102.5</c:v>
                </c:pt>
                <c:pt idx="26">
                  <c:v>103</c:v>
                </c:pt>
                <c:pt idx="27">
                  <c:v>103.5</c:v>
                </c:pt>
                <c:pt idx="28">
                  <c:v>104</c:v>
                </c:pt>
                <c:pt idx="29">
                  <c:v>104.5</c:v>
                </c:pt>
                <c:pt idx="30">
                  <c:v>105</c:v>
                </c:pt>
                <c:pt idx="31">
                  <c:v>105.5</c:v>
                </c:pt>
                <c:pt idx="32">
                  <c:v>106</c:v>
                </c:pt>
                <c:pt idx="33">
                  <c:v>106.5</c:v>
                </c:pt>
                <c:pt idx="34">
                  <c:v>107</c:v>
                </c:pt>
                <c:pt idx="35">
                  <c:v>107.5</c:v>
                </c:pt>
                <c:pt idx="36">
                  <c:v>108</c:v>
                </c:pt>
                <c:pt idx="37">
                  <c:v>108.5</c:v>
                </c:pt>
                <c:pt idx="38">
                  <c:v>109</c:v>
                </c:pt>
                <c:pt idx="39">
                  <c:v>109.5</c:v>
                </c:pt>
                <c:pt idx="40">
                  <c:v>110</c:v>
                </c:pt>
              </c:numCache>
            </c:numRef>
          </c:xVal>
          <c:yVal>
            <c:numRef>
              <c:f>Pricing!$J$2:$J$42</c:f>
              <c:numCache>
                <c:formatCode>General</c:formatCode>
                <c:ptCount val="41"/>
                <c:pt idx="0">
                  <c:v>14.952627</c:v>
                </c:pt>
                <c:pt idx="1">
                  <c:v>15.035697000000001</c:v>
                </c:pt>
                <c:pt idx="2">
                  <c:v>15.118767</c:v>
                </c:pt>
                <c:pt idx="3">
                  <c:v>15.201836999999999</c:v>
                </c:pt>
                <c:pt idx="4">
                  <c:v>15.284908</c:v>
                </c:pt>
                <c:pt idx="5">
                  <c:v>15.367978000000001</c:v>
                </c:pt>
                <c:pt idx="6">
                  <c:v>15.451048</c:v>
                </c:pt>
                <c:pt idx="7">
                  <c:v>15.534117999999999</c:v>
                </c:pt>
                <c:pt idx="8">
                  <c:v>15.617188000000001</c:v>
                </c:pt>
                <c:pt idx="9">
                  <c:v>15.700258</c:v>
                </c:pt>
                <c:pt idx="10">
                  <c:v>15.783329</c:v>
                </c:pt>
                <c:pt idx="11">
                  <c:v>15.866398999999999</c:v>
                </c:pt>
                <c:pt idx="12">
                  <c:v>15.949469000000001</c:v>
                </c:pt>
                <c:pt idx="13">
                  <c:v>16.032539</c:v>
                </c:pt>
                <c:pt idx="14">
                  <c:v>16.115608999999999</c:v>
                </c:pt>
                <c:pt idx="15">
                  <c:v>16.198678999999998</c:v>
                </c:pt>
                <c:pt idx="16">
                  <c:v>16.281749000000001</c:v>
                </c:pt>
                <c:pt idx="17">
                  <c:v>16.364820000000002</c:v>
                </c:pt>
                <c:pt idx="18">
                  <c:v>16.447890000000001</c:v>
                </c:pt>
                <c:pt idx="19">
                  <c:v>16.53096</c:v>
                </c:pt>
                <c:pt idx="20">
                  <c:v>16.61403</c:v>
                </c:pt>
                <c:pt idx="21">
                  <c:v>16.697099999999999</c:v>
                </c:pt>
                <c:pt idx="22">
                  <c:v>16.780169999999998</c:v>
                </c:pt>
                <c:pt idx="23">
                  <c:v>16.863240999999999</c:v>
                </c:pt>
                <c:pt idx="24">
                  <c:v>16.946311000000001</c:v>
                </c:pt>
                <c:pt idx="25">
                  <c:v>17.029381000000001</c:v>
                </c:pt>
                <c:pt idx="26">
                  <c:v>17.112451</c:v>
                </c:pt>
                <c:pt idx="27">
                  <c:v>17.195520999999999</c:v>
                </c:pt>
                <c:pt idx="28">
                  <c:v>17.278590999999999</c:v>
                </c:pt>
                <c:pt idx="29">
                  <c:v>17.361661000000002</c:v>
                </c:pt>
                <c:pt idx="30">
                  <c:v>17.444731999999998</c:v>
                </c:pt>
                <c:pt idx="31">
                  <c:v>17.527802000000001</c:v>
                </c:pt>
                <c:pt idx="32">
                  <c:v>17.610872000000001</c:v>
                </c:pt>
                <c:pt idx="33">
                  <c:v>17.693942</c:v>
                </c:pt>
                <c:pt idx="34">
                  <c:v>17.777011999999999</c:v>
                </c:pt>
                <c:pt idx="35">
                  <c:v>17.860081999999998</c:v>
                </c:pt>
                <c:pt idx="36">
                  <c:v>17.943152000000001</c:v>
                </c:pt>
                <c:pt idx="37">
                  <c:v>18.026223000000002</c:v>
                </c:pt>
                <c:pt idx="38">
                  <c:v>18.109293000000001</c:v>
                </c:pt>
                <c:pt idx="39">
                  <c:v>18.192363</c:v>
                </c:pt>
                <c:pt idx="40">
                  <c:v>18.275433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39-4652-A986-98DEB050D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32639"/>
        <c:axId val="500531199"/>
      </c:scatterChart>
      <c:valAx>
        <c:axId val="500532639"/>
        <c:scaling>
          <c:orientation val="minMax"/>
          <c:max val="111"/>
          <c:min val="89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it-IT"/>
                  <a:t>Spot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0531199"/>
        <c:crosses val="autoZero"/>
        <c:crossBetween val="midCat"/>
      </c:valAx>
      <c:valAx>
        <c:axId val="500531199"/>
        <c:scaling>
          <c:orientation val="minMax"/>
          <c:max val="18.441573299999998"/>
          <c:min val="14.786486699999999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/>
                  <a:t>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0532639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it-IT"/>
              <a:t>Delta vs Spot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Pricing!$I$2:$I$42</c:f>
              <c:numCache>
                <c:formatCode>General</c:formatCode>
                <c:ptCount val="41"/>
                <c:pt idx="0">
                  <c:v>90</c:v>
                </c:pt>
                <c:pt idx="1">
                  <c:v>90.5</c:v>
                </c:pt>
                <c:pt idx="2">
                  <c:v>91</c:v>
                </c:pt>
                <c:pt idx="3">
                  <c:v>91.5</c:v>
                </c:pt>
                <c:pt idx="4">
                  <c:v>92</c:v>
                </c:pt>
                <c:pt idx="5">
                  <c:v>92.5</c:v>
                </c:pt>
                <c:pt idx="6">
                  <c:v>93</c:v>
                </c:pt>
                <c:pt idx="7">
                  <c:v>93.5</c:v>
                </c:pt>
                <c:pt idx="8">
                  <c:v>94</c:v>
                </c:pt>
                <c:pt idx="9">
                  <c:v>94.5</c:v>
                </c:pt>
                <c:pt idx="10">
                  <c:v>95</c:v>
                </c:pt>
                <c:pt idx="11">
                  <c:v>95.5</c:v>
                </c:pt>
                <c:pt idx="12">
                  <c:v>96</c:v>
                </c:pt>
                <c:pt idx="13">
                  <c:v>96.5</c:v>
                </c:pt>
                <c:pt idx="14">
                  <c:v>97</c:v>
                </c:pt>
                <c:pt idx="15">
                  <c:v>97.5</c:v>
                </c:pt>
                <c:pt idx="16">
                  <c:v>98</c:v>
                </c:pt>
                <c:pt idx="17">
                  <c:v>98.5</c:v>
                </c:pt>
                <c:pt idx="18">
                  <c:v>99</c:v>
                </c:pt>
                <c:pt idx="19">
                  <c:v>99.5</c:v>
                </c:pt>
                <c:pt idx="20">
                  <c:v>100</c:v>
                </c:pt>
                <c:pt idx="21">
                  <c:v>100.5</c:v>
                </c:pt>
                <c:pt idx="22">
                  <c:v>101</c:v>
                </c:pt>
                <c:pt idx="23">
                  <c:v>101.5</c:v>
                </c:pt>
                <c:pt idx="24">
                  <c:v>102</c:v>
                </c:pt>
                <c:pt idx="25">
                  <c:v>102.5</c:v>
                </c:pt>
                <c:pt idx="26">
                  <c:v>103</c:v>
                </c:pt>
                <c:pt idx="27">
                  <c:v>103.5</c:v>
                </c:pt>
                <c:pt idx="28">
                  <c:v>104</c:v>
                </c:pt>
                <c:pt idx="29">
                  <c:v>104.5</c:v>
                </c:pt>
                <c:pt idx="30">
                  <c:v>105</c:v>
                </c:pt>
                <c:pt idx="31">
                  <c:v>105.5</c:v>
                </c:pt>
                <c:pt idx="32">
                  <c:v>106</c:v>
                </c:pt>
                <c:pt idx="33">
                  <c:v>106.5</c:v>
                </c:pt>
                <c:pt idx="34">
                  <c:v>107</c:v>
                </c:pt>
                <c:pt idx="35">
                  <c:v>107.5</c:v>
                </c:pt>
                <c:pt idx="36">
                  <c:v>108</c:v>
                </c:pt>
                <c:pt idx="37">
                  <c:v>108.5</c:v>
                </c:pt>
                <c:pt idx="38">
                  <c:v>109</c:v>
                </c:pt>
                <c:pt idx="39">
                  <c:v>109.5</c:v>
                </c:pt>
                <c:pt idx="40">
                  <c:v>110</c:v>
                </c:pt>
              </c:numCache>
            </c:numRef>
          </c:xVal>
          <c:yVal>
            <c:numRef>
              <c:f>Pricing!$K$2:$K$42</c:f>
              <c:numCache>
                <c:formatCode>General</c:formatCode>
                <c:ptCount val="41"/>
                <c:pt idx="0">
                  <c:v>0.16614000000000001</c:v>
                </c:pt>
                <c:pt idx="1">
                  <c:v>0.16614000000000001</c:v>
                </c:pt>
                <c:pt idx="2">
                  <c:v>0.16614000000000001</c:v>
                </c:pt>
                <c:pt idx="3">
                  <c:v>0.16614000000000001</c:v>
                </c:pt>
                <c:pt idx="4">
                  <c:v>0.16614000000000001</c:v>
                </c:pt>
                <c:pt idx="5">
                  <c:v>0.16614000000000001</c:v>
                </c:pt>
                <c:pt idx="6">
                  <c:v>0.16614000000000001</c:v>
                </c:pt>
                <c:pt idx="7">
                  <c:v>0.16614000000000001</c:v>
                </c:pt>
                <c:pt idx="8">
                  <c:v>0.16614000000000001</c:v>
                </c:pt>
                <c:pt idx="9">
                  <c:v>0.16614000000000001</c:v>
                </c:pt>
                <c:pt idx="10">
                  <c:v>0.16614000000000001</c:v>
                </c:pt>
                <c:pt idx="11">
                  <c:v>0.16614000000000001</c:v>
                </c:pt>
                <c:pt idx="12">
                  <c:v>0.16614000000000001</c:v>
                </c:pt>
                <c:pt idx="13">
                  <c:v>0.16614000000000001</c:v>
                </c:pt>
                <c:pt idx="14">
                  <c:v>0.16614000000000001</c:v>
                </c:pt>
                <c:pt idx="15">
                  <c:v>0.16614000000000001</c:v>
                </c:pt>
                <c:pt idx="16">
                  <c:v>0.16614000000000001</c:v>
                </c:pt>
                <c:pt idx="17">
                  <c:v>0.16614000000000001</c:v>
                </c:pt>
                <c:pt idx="18">
                  <c:v>0.16614000000000001</c:v>
                </c:pt>
                <c:pt idx="19">
                  <c:v>0.16614000000000001</c:v>
                </c:pt>
                <c:pt idx="20">
                  <c:v>0.16614000000000001</c:v>
                </c:pt>
                <c:pt idx="21">
                  <c:v>0.16614000000000001</c:v>
                </c:pt>
                <c:pt idx="22">
                  <c:v>0.16614000000000001</c:v>
                </c:pt>
                <c:pt idx="23">
                  <c:v>0.16614000000000001</c:v>
                </c:pt>
                <c:pt idx="24">
                  <c:v>0.16614000000000001</c:v>
                </c:pt>
                <c:pt idx="25">
                  <c:v>0.16614000000000001</c:v>
                </c:pt>
                <c:pt idx="26">
                  <c:v>0.16614000000000001</c:v>
                </c:pt>
                <c:pt idx="27">
                  <c:v>0.16614000000000001</c:v>
                </c:pt>
                <c:pt idx="28">
                  <c:v>0.16614000000000001</c:v>
                </c:pt>
                <c:pt idx="29">
                  <c:v>0.16614000000000001</c:v>
                </c:pt>
                <c:pt idx="30">
                  <c:v>0.16614000000000001</c:v>
                </c:pt>
                <c:pt idx="31">
                  <c:v>0.16614000000000001</c:v>
                </c:pt>
                <c:pt idx="32">
                  <c:v>0.16614000000000001</c:v>
                </c:pt>
                <c:pt idx="33">
                  <c:v>0.16614000000000001</c:v>
                </c:pt>
                <c:pt idx="34">
                  <c:v>0.16614000000000001</c:v>
                </c:pt>
                <c:pt idx="35">
                  <c:v>0.16614000000000001</c:v>
                </c:pt>
                <c:pt idx="36">
                  <c:v>0.16614000000000001</c:v>
                </c:pt>
                <c:pt idx="37">
                  <c:v>0.16614000000000001</c:v>
                </c:pt>
                <c:pt idx="38">
                  <c:v>0.16614000000000001</c:v>
                </c:pt>
                <c:pt idx="39">
                  <c:v>0.16614000000000001</c:v>
                </c:pt>
                <c:pt idx="40">
                  <c:v>0.16614000000000001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2D-4EF2-844B-6BC079E573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664351"/>
        <c:axId val="1066662911"/>
      </c:scatterChart>
      <c:valAx>
        <c:axId val="1066664351"/>
        <c:scaling>
          <c:orientation val="minMax"/>
          <c:max val="111"/>
          <c:min val="89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it-IT"/>
                  <a:t>Spot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6662911"/>
        <c:crosses val="autoZero"/>
        <c:crossBetween val="midCat"/>
      </c:valAx>
      <c:valAx>
        <c:axId val="1066662911"/>
        <c:scaling>
          <c:orientation val="minMax"/>
          <c:max val="0.17614000000000002"/>
          <c:min val="0.1561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/>
                  <a:t>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6664351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</xdr:row>
          <xdr:rowOff>177800</xdr:rowOff>
        </xdr:from>
        <xdr:to>
          <xdr:col>6</xdr:col>
          <xdr:colOff>0</xdr:colOff>
          <xdr:row>14</xdr:row>
          <xdr:rowOff>184150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15</xdr:row>
      <xdr:rowOff>127000</xdr:rowOff>
    </xdr:from>
    <xdr:to>
      <xdr:col>7</xdr:col>
      <xdr:colOff>273050</xdr:colOff>
      <xdr:row>32</xdr:row>
      <xdr:rowOff>171450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8491188D-3761-51BB-277D-DCE702931C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114300</xdr:rowOff>
    </xdr:from>
    <xdr:to>
      <xdr:col>7</xdr:col>
      <xdr:colOff>273050</xdr:colOff>
      <xdr:row>50</xdr:row>
      <xdr:rowOff>158750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FF8455EF-2DC3-445C-A3B1-D42119DF4A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B2914-23D1-4239-8A1F-B5E0B7EBFB18}">
  <sheetPr codeName="Foglio1"/>
  <dimension ref="A1:K42"/>
  <sheetViews>
    <sheetView tabSelected="1" zoomScale="121" zoomScaleNormal="100" workbookViewId="0">
      <selection activeCell="B8" sqref="B8"/>
    </sheetView>
  </sheetViews>
  <sheetFormatPr defaultColWidth="8.90625" defaultRowHeight="14.5" x14ac:dyDescent="0.35"/>
  <cols>
    <col min="1" max="1" width="8.90625" style="2"/>
    <col min="2" max="2" width="10.453125" style="2" bestFit="1" customWidth="1"/>
    <col min="3" max="5" width="8.90625" style="2"/>
    <col min="6" max="6" width="13.81640625" style="2" customWidth="1"/>
    <col min="7" max="7" width="8.90625" style="2"/>
    <col min="8" max="8" width="8.90625" style="2" customWidth="1"/>
    <col min="9" max="9" width="11.08984375" style="7" customWidth="1"/>
    <col min="10" max="10" width="12.54296875" style="7" customWidth="1"/>
    <col min="11" max="11" width="12.6328125" style="7" customWidth="1"/>
    <col min="12" max="16384" width="8.90625" style="2"/>
  </cols>
  <sheetData>
    <row r="1" spans="1:11" x14ac:dyDescent="0.35">
      <c r="A1" s="1" t="s">
        <v>0</v>
      </c>
      <c r="B1" s="1" t="s">
        <v>11</v>
      </c>
      <c r="E1" s="1" t="s">
        <v>12</v>
      </c>
      <c r="F1" s="1" t="s">
        <v>11</v>
      </c>
      <c r="I1" s="1" t="s">
        <v>19</v>
      </c>
      <c r="J1" s="1" t="s">
        <v>13</v>
      </c>
      <c r="K1" s="1" t="s">
        <v>14</v>
      </c>
    </row>
    <row r="2" spans="1:11" x14ac:dyDescent="0.35">
      <c r="A2" s="1" t="s">
        <v>1</v>
      </c>
      <c r="B2" s="11" t="s">
        <v>23</v>
      </c>
      <c r="E2" s="3" t="s">
        <v>13</v>
      </c>
      <c r="F2" s="4">
        <v>16.61403</v>
      </c>
      <c r="I2" s="8">
        <v>90</v>
      </c>
      <c r="J2" s="8">
        <v>14.952627</v>
      </c>
      <c r="K2" s="8">
        <v>0.16614000000000001</v>
      </c>
    </row>
    <row r="3" spans="1:11" x14ac:dyDescent="0.35">
      <c r="A3" s="1" t="s">
        <v>2</v>
      </c>
      <c r="B3" s="12">
        <v>46066</v>
      </c>
      <c r="E3" s="3" t="s">
        <v>14</v>
      </c>
      <c r="F3" s="4">
        <v>0.16614000000000001</v>
      </c>
      <c r="I3" s="9">
        <v>90.5</v>
      </c>
      <c r="J3" s="9">
        <v>15.035697000000001</v>
      </c>
      <c r="K3" s="9">
        <v>0.16614000000000001</v>
      </c>
    </row>
    <row r="4" spans="1:11" x14ac:dyDescent="0.35">
      <c r="A4" s="1" t="s">
        <v>3</v>
      </c>
      <c r="B4" s="13">
        <v>46431</v>
      </c>
      <c r="E4" s="3" t="s">
        <v>15</v>
      </c>
      <c r="F4" s="5">
        <v>0</v>
      </c>
      <c r="I4" s="9">
        <v>91</v>
      </c>
      <c r="J4" s="9">
        <v>15.118767</v>
      </c>
      <c r="K4" s="9">
        <v>0.16614000000000001</v>
      </c>
    </row>
    <row r="5" spans="1:11" x14ac:dyDescent="0.35">
      <c r="A5" s="1" t="s">
        <v>4</v>
      </c>
      <c r="B5" s="14">
        <v>100</v>
      </c>
      <c r="E5" s="3" t="s">
        <v>16</v>
      </c>
      <c r="F5" s="4">
        <v>-3.275468</v>
      </c>
      <c r="I5" s="9">
        <v>91.5</v>
      </c>
      <c r="J5" s="9">
        <v>15.201836999999999</v>
      </c>
      <c r="K5" s="9">
        <v>0.16614000000000001</v>
      </c>
    </row>
    <row r="6" spans="1:11" x14ac:dyDescent="0.35">
      <c r="A6" s="1" t="s">
        <v>5</v>
      </c>
      <c r="B6" s="15">
        <v>0.05</v>
      </c>
      <c r="E6" s="3" t="s">
        <v>17</v>
      </c>
      <c r="F6" s="4">
        <v>47.059834000000002</v>
      </c>
      <c r="I6" s="9">
        <v>92</v>
      </c>
      <c r="J6" s="9">
        <v>15.284908</v>
      </c>
      <c r="K6" s="9">
        <v>0.16614000000000001</v>
      </c>
    </row>
    <row r="7" spans="1:11" x14ac:dyDescent="0.35">
      <c r="A7" s="1" t="s">
        <v>6</v>
      </c>
      <c r="B7" s="15">
        <v>0.2</v>
      </c>
      <c r="E7" s="3" t="s">
        <v>18</v>
      </c>
      <c r="F7" s="4">
        <v>65.085173999999995</v>
      </c>
      <c r="I7" s="9">
        <v>92.5</v>
      </c>
      <c r="J7" s="9">
        <v>15.367978000000001</v>
      </c>
      <c r="K7" s="9">
        <v>0.16614000000000001</v>
      </c>
    </row>
    <row r="8" spans="1:11" x14ac:dyDescent="0.35">
      <c r="A8" s="1" t="s">
        <v>7</v>
      </c>
      <c r="B8" s="16">
        <v>100000</v>
      </c>
      <c r="I8" s="9">
        <v>93</v>
      </c>
      <c r="J8" s="9">
        <v>15.451048</v>
      </c>
      <c r="K8" s="9">
        <v>0.16614000000000001</v>
      </c>
    </row>
    <row r="9" spans="1:11" x14ac:dyDescent="0.35">
      <c r="A9" s="1" t="s">
        <v>8</v>
      </c>
      <c r="B9" s="14">
        <v>0.5</v>
      </c>
      <c r="E9" s="3" t="s">
        <v>20</v>
      </c>
      <c r="F9" s="4">
        <f>IF(B5-(B10*B9*0.5)&gt;0,B5-(B10*0.5*B9),0)</f>
        <v>90</v>
      </c>
      <c r="I9" s="9">
        <v>93.5</v>
      </c>
      <c r="J9" s="9">
        <v>15.534117999999999</v>
      </c>
      <c r="K9" s="9">
        <v>0.16614000000000001</v>
      </c>
    </row>
    <row r="10" spans="1:11" x14ac:dyDescent="0.35">
      <c r="A10" s="1" t="s">
        <v>9</v>
      </c>
      <c r="B10" s="14">
        <v>40</v>
      </c>
      <c r="E10" s="3" t="s">
        <v>21</v>
      </c>
      <c r="F10" s="4">
        <f>IF(B5-(B10*0.5*B9)&gt;0,B5+(B10*0.5*B9),B5+(B10+(B10-(2*B5/B9)))*0.5*B9)</f>
        <v>110</v>
      </c>
      <c r="I10" s="9">
        <v>94</v>
      </c>
      <c r="J10" s="9">
        <v>15.617188000000001</v>
      </c>
      <c r="K10" s="9">
        <v>0.16614000000000001</v>
      </c>
    </row>
    <row r="11" spans="1:11" x14ac:dyDescent="0.35">
      <c r="A11" s="1" t="s">
        <v>10</v>
      </c>
      <c r="B11" s="14">
        <v>20</v>
      </c>
      <c r="E11" s="3" t="s">
        <v>22</v>
      </c>
      <c r="F11" s="6">
        <f>B10*B9</f>
        <v>20</v>
      </c>
      <c r="I11" s="9">
        <v>94.5</v>
      </c>
      <c r="J11" s="9">
        <v>15.700258</v>
      </c>
      <c r="K11" s="9">
        <v>0.16614000000000001</v>
      </c>
    </row>
    <row r="12" spans="1:11" x14ac:dyDescent="0.35">
      <c r="I12" s="9">
        <v>95</v>
      </c>
      <c r="J12" s="9">
        <v>15.783329</v>
      </c>
      <c r="K12" s="9">
        <v>0.16614000000000001</v>
      </c>
    </row>
    <row r="13" spans="1:11" x14ac:dyDescent="0.35">
      <c r="I13" s="9">
        <v>95.5</v>
      </c>
      <c r="J13" s="9">
        <v>15.866398999999999</v>
      </c>
      <c r="K13" s="9">
        <v>0.16614000000000001</v>
      </c>
    </row>
    <row r="14" spans="1:11" x14ac:dyDescent="0.35">
      <c r="I14" s="9">
        <v>96</v>
      </c>
      <c r="J14" s="9">
        <v>15.949469000000001</v>
      </c>
      <c r="K14" s="9">
        <v>0.16614000000000001</v>
      </c>
    </row>
    <row r="15" spans="1:11" x14ac:dyDescent="0.35">
      <c r="I15" s="9">
        <v>96.5</v>
      </c>
      <c r="J15" s="9">
        <v>16.032539</v>
      </c>
      <c r="K15" s="9">
        <v>0.16614000000000001</v>
      </c>
    </row>
    <row r="16" spans="1:11" x14ac:dyDescent="0.35">
      <c r="I16" s="9">
        <v>97</v>
      </c>
      <c r="J16" s="9">
        <v>16.115608999999999</v>
      </c>
      <c r="K16" s="9">
        <v>0.16614000000000001</v>
      </c>
    </row>
    <row r="17" spans="9:11" x14ac:dyDescent="0.35">
      <c r="I17" s="9">
        <v>97.5</v>
      </c>
      <c r="J17" s="9">
        <v>16.198678999999998</v>
      </c>
      <c r="K17" s="9">
        <v>0.16614000000000001</v>
      </c>
    </row>
    <row r="18" spans="9:11" x14ac:dyDescent="0.35">
      <c r="I18" s="9">
        <v>98</v>
      </c>
      <c r="J18" s="9">
        <v>16.281749000000001</v>
      </c>
      <c r="K18" s="9">
        <v>0.16614000000000001</v>
      </c>
    </row>
    <row r="19" spans="9:11" x14ac:dyDescent="0.35">
      <c r="I19" s="9">
        <v>98.5</v>
      </c>
      <c r="J19" s="9">
        <v>16.364820000000002</v>
      </c>
      <c r="K19" s="9">
        <v>0.16614000000000001</v>
      </c>
    </row>
    <row r="20" spans="9:11" x14ac:dyDescent="0.35">
      <c r="I20" s="9">
        <v>99</v>
      </c>
      <c r="J20" s="9">
        <v>16.447890000000001</v>
      </c>
      <c r="K20" s="9">
        <v>0.16614000000000001</v>
      </c>
    </row>
    <row r="21" spans="9:11" x14ac:dyDescent="0.35">
      <c r="I21" s="9">
        <v>99.5</v>
      </c>
      <c r="J21" s="9">
        <v>16.53096</v>
      </c>
      <c r="K21" s="9">
        <v>0.16614000000000001</v>
      </c>
    </row>
    <row r="22" spans="9:11" x14ac:dyDescent="0.35">
      <c r="I22" s="9">
        <v>100</v>
      </c>
      <c r="J22" s="9">
        <v>16.61403</v>
      </c>
      <c r="K22" s="9">
        <v>0.16614000000000001</v>
      </c>
    </row>
    <row r="23" spans="9:11" x14ac:dyDescent="0.35">
      <c r="I23" s="9">
        <v>100.5</v>
      </c>
      <c r="J23" s="9">
        <v>16.697099999999999</v>
      </c>
      <c r="K23" s="9">
        <v>0.16614000000000001</v>
      </c>
    </row>
    <row r="24" spans="9:11" x14ac:dyDescent="0.35">
      <c r="I24" s="9">
        <v>101</v>
      </c>
      <c r="J24" s="9">
        <v>16.780169999999998</v>
      </c>
      <c r="K24" s="9">
        <v>0.16614000000000001</v>
      </c>
    </row>
    <row r="25" spans="9:11" x14ac:dyDescent="0.35">
      <c r="I25" s="9">
        <v>101.5</v>
      </c>
      <c r="J25" s="9">
        <v>16.863240999999999</v>
      </c>
      <c r="K25" s="9">
        <v>0.16614000000000001</v>
      </c>
    </row>
    <row r="26" spans="9:11" x14ac:dyDescent="0.35">
      <c r="I26" s="9">
        <v>102</v>
      </c>
      <c r="J26" s="9">
        <v>16.946311000000001</v>
      </c>
      <c r="K26" s="9">
        <v>0.16614000000000001</v>
      </c>
    </row>
    <row r="27" spans="9:11" x14ac:dyDescent="0.35">
      <c r="I27" s="9">
        <v>102.5</v>
      </c>
      <c r="J27" s="9">
        <v>17.029381000000001</v>
      </c>
      <c r="K27" s="9">
        <v>0.16614000000000001</v>
      </c>
    </row>
    <row r="28" spans="9:11" x14ac:dyDescent="0.35">
      <c r="I28" s="9">
        <v>103</v>
      </c>
      <c r="J28" s="9">
        <v>17.112451</v>
      </c>
      <c r="K28" s="9">
        <v>0.16614000000000001</v>
      </c>
    </row>
    <row r="29" spans="9:11" x14ac:dyDescent="0.35">
      <c r="I29" s="9">
        <v>103.5</v>
      </c>
      <c r="J29" s="9">
        <v>17.195520999999999</v>
      </c>
      <c r="K29" s="9">
        <v>0.16614000000000001</v>
      </c>
    </row>
    <row r="30" spans="9:11" x14ac:dyDescent="0.35">
      <c r="I30" s="9">
        <v>104</v>
      </c>
      <c r="J30" s="9">
        <v>17.278590999999999</v>
      </c>
      <c r="K30" s="9">
        <v>0.16614000000000001</v>
      </c>
    </row>
    <row r="31" spans="9:11" x14ac:dyDescent="0.35">
      <c r="I31" s="9">
        <v>104.5</v>
      </c>
      <c r="J31" s="9">
        <v>17.361661000000002</v>
      </c>
      <c r="K31" s="9">
        <v>0.16614000000000001</v>
      </c>
    </row>
    <row r="32" spans="9:11" x14ac:dyDescent="0.35">
      <c r="I32" s="9">
        <v>105</v>
      </c>
      <c r="J32" s="9">
        <v>17.444731999999998</v>
      </c>
      <c r="K32" s="9">
        <v>0.16614000000000001</v>
      </c>
    </row>
    <row r="33" spans="9:11" x14ac:dyDescent="0.35">
      <c r="I33" s="9">
        <v>105.5</v>
      </c>
      <c r="J33" s="9">
        <v>17.527802000000001</v>
      </c>
      <c r="K33" s="9">
        <v>0.16614000000000001</v>
      </c>
    </row>
    <row r="34" spans="9:11" x14ac:dyDescent="0.35">
      <c r="I34" s="9">
        <v>106</v>
      </c>
      <c r="J34" s="9">
        <v>17.610872000000001</v>
      </c>
      <c r="K34" s="9">
        <v>0.16614000000000001</v>
      </c>
    </row>
    <row r="35" spans="9:11" x14ac:dyDescent="0.35">
      <c r="I35" s="9">
        <v>106.5</v>
      </c>
      <c r="J35" s="9">
        <v>17.693942</v>
      </c>
      <c r="K35" s="9">
        <v>0.16614000000000001</v>
      </c>
    </row>
    <row r="36" spans="9:11" x14ac:dyDescent="0.35">
      <c r="I36" s="9">
        <v>107</v>
      </c>
      <c r="J36" s="9">
        <v>17.777011999999999</v>
      </c>
      <c r="K36" s="9">
        <v>0.16614000000000001</v>
      </c>
    </row>
    <row r="37" spans="9:11" x14ac:dyDescent="0.35">
      <c r="I37" s="9">
        <v>107.5</v>
      </c>
      <c r="J37" s="9">
        <v>17.860081999999998</v>
      </c>
      <c r="K37" s="9">
        <v>0.16614000000000001</v>
      </c>
    </row>
    <row r="38" spans="9:11" x14ac:dyDescent="0.35">
      <c r="I38" s="9">
        <v>108</v>
      </c>
      <c r="J38" s="9">
        <v>17.943152000000001</v>
      </c>
      <c r="K38" s="9">
        <v>0.16614000000000001</v>
      </c>
    </row>
    <row r="39" spans="9:11" x14ac:dyDescent="0.35">
      <c r="I39" s="9">
        <v>108.5</v>
      </c>
      <c r="J39" s="9">
        <v>18.026223000000002</v>
      </c>
      <c r="K39" s="9">
        <v>0.16614000000000001</v>
      </c>
    </row>
    <row r="40" spans="9:11" x14ac:dyDescent="0.35">
      <c r="I40" s="9">
        <v>109</v>
      </c>
      <c r="J40" s="9">
        <v>18.109293000000001</v>
      </c>
      <c r="K40" s="9">
        <v>0.16614000000000001</v>
      </c>
    </row>
    <row r="41" spans="9:11" x14ac:dyDescent="0.35">
      <c r="I41" s="9">
        <v>109.5</v>
      </c>
      <c r="J41" s="9">
        <v>18.192363</v>
      </c>
      <c r="K41" s="9">
        <v>0.16614000000000001</v>
      </c>
    </row>
    <row r="42" spans="9:11" x14ac:dyDescent="0.35">
      <c r="I42" s="10">
        <v>110</v>
      </c>
      <c r="J42" s="10">
        <v>18.275433</v>
      </c>
      <c r="K42" s="10">
        <v>0.16614000000000001</v>
      </c>
    </row>
  </sheetData>
  <sheetProtection sheet="1" objects="1" scenarios="1" selectLockedCells="1"/>
  <dataValidations count="1">
    <dataValidation type="list" allowBlank="1" showInputMessage="1" showErrorMessage="1" sqref="B2" xr:uid="{EF5916DA-129A-4E11-8047-C738322114BA}">
      <formula1>"Call,Put"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Foglio1.CalculateOptionPrice">
                <anchor moveWithCells="1" sizeWithCells="1">
                  <from>
                    <xdr:col>0</xdr:col>
                    <xdr:colOff>0</xdr:colOff>
                    <xdr:row>11</xdr:row>
                    <xdr:rowOff>177800</xdr:rowOff>
                  </from>
                  <to>
                    <xdr:col>6</xdr:col>
                    <xdr:colOff>0</xdr:colOff>
                    <xdr:row>14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Bortun</dc:creator>
  <cp:lastModifiedBy>Alessio Baldini</cp:lastModifiedBy>
  <dcterms:created xsi:type="dcterms:W3CDTF">2026-01-12T23:30:11Z</dcterms:created>
  <dcterms:modified xsi:type="dcterms:W3CDTF">2026-02-13T09:18:30Z</dcterms:modified>
</cp:coreProperties>
</file>